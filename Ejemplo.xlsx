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 2026" sheetId="1" r:id="rId5"/>
  </sheets>
  <definedNames>
    <definedName hidden="1" localSheetId="0" name="_xlnm._FilterDatabase">'Sep 2026'!$A$1:$E$8</definedName>
  </definedNames>
  <calcPr/>
</workbook>
</file>

<file path=xl/sharedStrings.xml><?xml version="1.0" encoding="utf-8"?>
<sst xmlns="http://schemas.openxmlformats.org/spreadsheetml/2006/main" count="21" uniqueCount="18">
  <si>
    <t>Monto</t>
  </si>
  <si>
    <t>Descripcion</t>
  </si>
  <si>
    <t>Categoria</t>
  </si>
  <si>
    <t>Fecha</t>
  </si>
  <si>
    <t>Cuota</t>
  </si>
  <si>
    <t>Saldo del mes</t>
  </si>
  <si>
    <t>Balance disponible</t>
  </si>
  <si>
    <t>Pago mensual</t>
  </si>
  <si>
    <t>Luz</t>
  </si>
  <si>
    <t>Departamento</t>
  </si>
  <si>
    <t>Gas</t>
  </si>
  <si>
    <t>Compra de la semana</t>
  </si>
  <si>
    <t>Compra Super</t>
  </si>
  <si>
    <t>Turno</t>
  </si>
  <si>
    <t>Peluqueria</t>
  </si>
  <si>
    <t>Juntada pizzas</t>
  </si>
  <si>
    <t>Juntada</t>
  </si>
  <si>
    <t>Zapatillas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</si>
</sst>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'Sep 2026'!$A$1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'Sep 2026'!$C$2:$C$8</c:f>
            </c:strRef>
          </c:cat>
          <c:val>
            <c:numRef>
              <c:f>'Sep 2026'!$A$2:$A$9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57150</xdr:rowOff>
    </xdr:from>
    <xdr:ext cx="5715000" cy="3533775"/>
    <xdr:pic>
      <xdr:nvPicPr>
        <xdr:cNvPr id="62322735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2"/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100.0</v>
      </c>
      <c r="B2" s="1" t="s">
        <v>7</v>
      </c>
      <c r="C2" s="3" t="s">
        <v>8</v>
      </c>
      <c r="D2" s="4">
        <v>46266.0</v>
      </c>
      <c r="E2" s="2"/>
      <c r="F2" s="2"/>
      <c r="G2" s="1">
        <v>3565.0</v>
      </c>
      <c r="H2" s="2"/>
      <c r="I2" s="2">
        <f>G2-SUM(A:A)</f>
        <v>2164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222.0</v>
      </c>
      <c r="B3" s="1" t="s">
        <v>7</v>
      </c>
      <c r="C3" s="3" t="s">
        <v>9</v>
      </c>
      <c r="D3" s="4">
        <v>46266.0</v>
      </c>
      <c r="E3" s="2"/>
      <c r="F3" s="2"/>
      <c r="G3" s="2"/>
      <c r="H3" s="2"/>
      <c r="I3" s="5" t="str">
        <f>FIXED((I2/G2)*100.2) &amp;"%"</f>
        <v>60,82%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122.0</v>
      </c>
      <c r="B4" s="1" t="s">
        <v>7</v>
      </c>
      <c r="C4" s="3" t="s">
        <v>10</v>
      </c>
      <c r="D4" s="4">
        <v>46267.0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353.0</v>
      </c>
      <c r="B5" s="1" t="s">
        <v>11</v>
      </c>
      <c r="C5" s="3" t="s">
        <v>12</v>
      </c>
      <c r="D5" s="4">
        <v>46269.0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44.0</v>
      </c>
      <c r="B6" s="1" t="s">
        <v>13</v>
      </c>
      <c r="C6" s="3" t="s">
        <v>14</v>
      </c>
      <c r="D6" s="4">
        <v>46270.0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200.0</v>
      </c>
      <c r="B7" s="1" t="s">
        <v>15</v>
      </c>
      <c r="C7" s="3" t="s">
        <v>16</v>
      </c>
      <c r="D7" s="4">
        <v>46274.0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360.0</v>
      </c>
      <c r="B8" s="1" t="s">
        <v>17</v>
      </c>
      <c r="C8" s="3" t="s">
        <v>4</v>
      </c>
      <c r="D8" s="4">
        <v>46275.0</v>
      </c>
      <c r="E8" s="6">
        <v>46083.0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8">
    <sortState ref="A1:E8">
      <sortCondition ref="D1:D8"/>
    </sortState>
  </autoFilter>
  <drawing r:id="rId1"/>
</worksheet>
</file>